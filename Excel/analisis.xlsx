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9a45a478f8e747/Documentos/Imágenes/AMAZON/"/>
    </mc:Choice>
  </mc:AlternateContent>
  <xr:revisionPtr revIDLastSave="0" documentId="8_{F9E80DEE-33A7-4926-8666-3F48B59B739B}" xr6:coauthVersionLast="47" xr6:coauthVersionMax="47" xr10:uidLastSave="{00000000-0000-0000-0000-000000000000}"/>
  <bookViews>
    <workbookView xWindow="-103" yWindow="-103" windowWidth="22149" windowHeight="13200" xr2:uid="{6DC5D1EE-7482-440F-84B6-F5783BECD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5" i="1"/>
  <c r="Q3" i="1"/>
  <c r="Q2" i="1"/>
  <c r="K41" i="1" l="1"/>
  <c r="K37" i="1"/>
  <c r="K13" i="1"/>
  <c r="K17" i="1"/>
  <c r="K21" i="1"/>
  <c r="K25" i="1"/>
  <c r="K33" i="1"/>
  <c r="K29" i="1"/>
  <c r="K9" i="1"/>
  <c r="K5" i="1"/>
</calcChain>
</file>

<file path=xl/sharedStrings.xml><?xml version="1.0" encoding="utf-8"?>
<sst xmlns="http://schemas.openxmlformats.org/spreadsheetml/2006/main" count="51" uniqueCount="29">
  <si>
    <t>FECHA</t>
  </si>
  <si>
    <t>SALDO INICIAL</t>
  </si>
  <si>
    <t>VENTAS</t>
  </si>
  <si>
    <t>REEMBOLSOS</t>
  </si>
  <si>
    <t>GASTOS</t>
  </si>
  <si>
    <t>OTROS</t>
  </si>
  <si>
    <t>IMPORTE PAGADO</t>
  </si>
  <si>
    <t>ESP</t>
  </si>
  <si>
    <t>FRANCIA</t>
  </si>
  <si>
    <t>23/10 - 6/11</t>
  </si>
  <si>
    <t>DIAS QUE ABARCA</t>
  </si>
  <si>
    <t>DIA DE PAGO</t>
  </si>
  <si>
    <t>6/11 - 20/11</t>
  </si>
  <si>
    <t>8/11 - 22/11</t>
  </si>
  <si>
    <t>25/10 - 8/11</t>
  </si>
  <si>
    <t>2023</t>
  </si>
  <si>
    <t>2024</t>
  </si>
  <si>
    <t>25/10-8/11</t>
  </si>
  <si>
    <t>8/11-22/11</t>
  </si>
  <si>
    <t>Alemania</t>
  </si>
  <si>
    <t>PUBLICIDAD</t>
  </si>
  <si>
    <t>ITALIA</t>
  </si>
  <si>
    <r>
      <rPr>
        <b/>
        <sz val="12"/>
        <color rgb="FFFF0000"/>
        <rFont val="Aptos Narrow"/>
        <family val="2"/>
        <scheme val="minor"/>
      </rPr>
      <t>U</t>
    </r>
    <r>
      <rPr>
        <b/>
        <sz val="12"/>
        <color theme="3" tint="0.249977111117893"/>
        <rFont val="Aptos Narrow"/>
        <family val="2"/>
        <scheme val="minor"/>
      </rPr>
      <t>S</t>
    </r>
    <r>
      <rPr>
        <b/>
        <sz val="12"/>
        <color rgb="FFFF0000"/>
        <rFont val="Aptos Narrow"/>
        <family val="2"/>
        <scheme val="minor"/>
      </rPr>
      <t>A</t>
    </r>
  </si>
  <si>
    <t>Tot 2023</t>
  </si>
  <si>
    <t>Tot 2024</t>
  </si>
  <si>
    <t>UNITATS</t>
  </si>
  <si>
    <t>Benefici</t>
  </si>
  <si>
    <t>Unitats sold</t>
  </si>
  <si>
    <t xml:space="preserve">Total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</si>
</sst>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8" formatCode="#,##0\ &quot;€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14" fontId="8" fillId="0" borderId="0" xfId="0" quotePrefix="1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16" fontId="4" fillId="3" borderId="0" xfId="0" applyNumberFormat="1" applyFont="1" applyFill="1" applyAlignment="1">
      <alignment wrapText="1"/>
    </xf>
    <xf numFmtId="0" fontId="0" fillId="4" borderId="0" xfId="0" applyFill="1"/>
    <xf numFmtId="0" fontId="3" fillId="4" borderId="0" xfId="0" applyFont="1" applyFill="1"/>
    <xf numFmtId="16" fontId="0" fillId="4" borderId="0" xfId="0" applyNumberFormat="1" applyFill="1"/>
    <xf numFmtId="0" fontId="2" fillId="5" borderId="0" xfId="0" applyFont="1" applyFill="1" applyAlignment="1">
      <alignment horizontal="center" wrapText="1"/>
    </xf>
    <xf numFmtId="0" fontId="0" fillId="5" borderId="0" xfId="0" applyFill="1"/>
    <xf numFmtId="0" fontId="9" fillId="0" borderId="0" xfId="0" applyFont="1"/>
    <xf numFmtId="0" fontId="10" fillId="0" borderId="0" xfId="0" applyFont="1"/>
    <xf numFmtId="168" fontId="2" fillId="0" borderId="0" xfId="0" applyNumberFormat="1" applyFont="1" applyAlignment="1">
      <alignment horizontal="center"/>
    </xf>
    <xf numFmtId="168" fontId="0" fillId="3" borderId="0" xfId="0" applyNumberFormat="1" applyFill="1"/>
    <xf numFmtId="168" fontId="0" fillId="4" borderId="0" xfId="0" applyNumberFormat="1" applyFill="1"/>
    <xf numFmtId="168" fontId="5" fillId="0" borderId="0" xfId="0" applyNumberFormat="1" applyFont="1"/>
    <xf numFmtId="168" fontId="5" fillId="3" borderId="0" xfId="0" applyNumberFormat="1" applyFont="1" applyFill="1"/>
    <xf numFmtId="168" fontId="5" fillId="4" borderId="0" xfId="0" applyNumberFormat="1" applyFont="1" applyFill="1"/>
    <xf numFmtId="168" fontId="12" fillId="0" borderId="0" xfId="0" applyNumberFormat="1" applyFont="1"/>
    <xf numFmtId="168" fontId="12" fillId="3" borderId="0" xfId="0" applyNumberFormat="1" applyFont="1" applyFill="1"/>
    <xf numFmtId="168" fontId="12" fillId="4" borderId="0" xfId="0" applyNumberFormat="1" applyFont="1" applyFill="1"/>
    <xf numFmtId="168" fontId="9" fillId="0" borderId="0" xfId="0" applyNumberFormat="1" applyFont="1" applyAlignment="1">
      <alignment horizontal="right"/>
    </xf>
    <xf numFmtId="168" fontId="9" fillId="3" borderId="0" xfId="0" applyNumberFormat="1" applyFont="1" applyFill="1" applyAlignment="1">
      <alignment horizontal="right"/>
    </xf>
    <xf numFmtId="168" fontId="9" fillId="4" borderId="0" xfId="0" applyNumberFormat="1" applyFont="1" applyFill="1" applyAlignment="1">
      <alignment horizontal="right"/>
    </xf>
    <xf numFmtId="168" fontId="9" fillId="0" borderId="0" xfId="0" applyNumberFormat="1" applyFont="1" applyAlignment="1">
      <alignment horizontal="right" vertical="center"/>
    </xf>
    <xf numFmtId="168" fontId="11" fillId="0" borderId="0" xfId="0" applyNumberFormat="1" applyFont="1"/>
    <xf numFmtId="168" fontId="11" fillId="3" borderId="0" xfId="0" applyNumberFormat="1" applyFont="1" applyFill="1"/>
    <xf numFmtId="168" fontId="11" fillId="4" borderId="0" xfId="0" applyNumberFormat="1" applyFont="1" applyFill="1"/>
    <xf numFmtId="168" fontId="0" fillId="0" borderId="0" xfId="0" applyNumberFormat="1"/>
    <xf numFmtId="168" fontId="13" fillId="0" borderId="0" xfId="0" applyNumberFormat="1" applyFont="1"/>
    <xf numFmtId="168" fontId="13" fillId="3" borderId="0" xfId="0" applyNumberFormat="1" applyFont="1" applyFill="1"/>
    <xf numFmtId="168" fontId="13" fillId="4" borderId="0" xfId="0" applyNumberFormat="1" applyFont="1" applyFill="1"/>
    <xf numFmtId="0" fontId="0" fillId="0" borderId="0" xfId="0" applyAlignment="1">
      <alignment horizontal="left"/>
    </xf>
    <xf numFmtId="168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A3CD-B5FD-4E13-BEAC-4A3644346BBA}">
  <dimension ref="A1:T41"/>
  <sheetViews>
    <sheetView tabSelected="1" topLeftCell="E1" workbookViewId="0">
      <selection activeCell="S6" sqref="S6"/>
    </sheetView>
  </sheetViews>
  <sheetFormatPr baseColWidth="10" defaultRowHeight="14.6" x14ac:dyDescent="0.4"/>
  <cols>
    <col min="2" max="2" width="11.07421875" style="16"/>
    <col min="3" max="3" width="6.765625" customWidth="1"/>
    <col min="4" max="4" width="8" style="2" customWidth="1"/>
    <col min="6" max="6" width="12.3046875" bestFit="1" customWidth="1"/>
    <col min="7" max="7" width="13.15234375" customWidth="1"/>
    <col min="8" max="8" width="8" style="2" customWidth="1"/>
    <col min="9" max="9" width="12.61328125" style="24" customWidth="1"/>
    <col min="10" max="10" width="15.765625" bestFit="1" customWidth="1"/>
    <col min="11" max="11" width="11.07421875" style="43"/>
    <col min="18" max="18" width="11.15234375" bestFit="1" customWidth="1"/>
    <col min="19" max="20" width="11.3046875" bestFit="1" customWidth="1"/>
  </cols>
  <sheetData>
    <row r="1" spans="1:20" x14ac:dyDescent="0.4">
      <c r="O1" t="s">
        <v>25</v>
      </c>
      <c r="R1" t="s">
        <v>27</v>
      </c>
      <c r="S1" t="s">
        <v>28</v>
      </c>
      <c r="T1" t="s">
        <v>26</v>
      </c>
    </row>
    <row r="2" spans="1:20" s="5" customFormat="1" ht="29.15" x14ac:dyDescent="0.4">
      <c r="B2" s="11" t="s">
        <v>0</v>
      </c>
      <c r="C2" s="6"/>
      <c r="D2" s="4" t="s">
        <v>1</v>
      </c>
      <c r="E2" s="6" t="s">
        <v>2</v>
      </c>
      <c r="F2" s="6" t="s">
        <v>3</v>
      </c>
      <c r="G2" s="6" t="s">
        <v>4</v>
      </c>
      <c r="H2" s="4" t="s">
        <v>5</v>
      </c>
      <c r="I2" s="23" t="s">
        <v>20</v>
      </c>
      <c r="J2" s="6" t="s">
        <v>6</v>
      </c>
      <c r="K2" s="27"/>
      <c r="L2" s="8" t="s">
        <v>10</v>
      </c>
      <c r="M2" s="8" t="s">
        <v>11</v>
      </c>
      <c r="P2" s="47" t="s">
        <v>23</v>
      </c>
      <c r="Q2" s="48">
        <f>K5+K13+K21+K29+K37</f>
        <v>10129</v>
      </c>
      <c r="R2" s="49">
        <v>2398</v>
      </c>
      <c r="S2" s="48">
        <v>21233</v>
      </c>
      <c r="T2" s="48">
        <v>8008</v>
      </c>
    </row>
    <row r="3" spans="1:20" ht="18.45" x14ac:dyDescent="0.45">
      <c r="A3" s="9" t="s">
        <v>7</v>
      </c>
      <c r="B3" s="12" t="s">
        <v>15</v>
      </c>
      <c r="C3" s="1"/>
      <c r="D3" s="17">
        <v>863</v>
      </c>
      <c r="E3" s="17">
        <v>1961</v>
      </c>
      <c r="F3" s="17">
        <v>-77</v>
      </c>
      <c r="G3" s="17">
        <v>-1031</v>
      </c>
      <c r="H3" s="17">
        <v>-759</v>
      </c>
      <c r="I3" s="24">
        <v>116</v>
      </c>
      <c r="J3" s="18">
        <v>957</v>
      </c>
      <c r="K3" s="28"/>
      <c r="L3" s="19" t="s">
        <v>14</v>
      </c>
      <c r="M3" s="19">
        <v>45604</v>
      </c>
      <c r="P3" t="s">
        <v>24</v>
      </c>
      <c r="Q3" s="48">
        <f>K9+K17+K25+K33+K41</f>
        <v>10665</v>
      </c>
      <c r="R3" s="49">
        <v>2837</v>
      </c>
      <c r="S3" s="48">
        <v>26007</v>
      </c>
      <c r="T3" s="48">
        <v>10393</v>
      </c>
    </row>
    <row r="4" spans="1:20" ht="18.45" x14ac:dyDescent="0.45">
      <c r="B4" s="13"/>
      <c r="C4" s="1"/>
      <c r="D4" s="20">
        <v>759</v>
      </c>
      <c r="E4" s="20">
        <v>2203</v>
      </c>
      <c r="F4" s="20">
        <v>-160</v>
      </c>
      <c r="G4" s="20">
        <v>-924</v>
      </c>
      <c r="H4" s="20">
        <v>-845</v>
      </c>
      <c r="J4" s="21">
        <v>1032</v>
      </c>
      <c r="K4" s="29"/>
      <c r="L4" s="20" t="s">
        <v>13</v>
      </c>
      <c r="M4" s="22">
        <v>45618</v>
      </c>
    </row>
    <row r="5" spans="1:20" ht="18.45" x14ac:dyDescent="0.45">
      <c r="B5" s="14"/>
      <c r="E5" s="3">
        <f>SUM(E3:E4)</f>
        <v>4164</v>
      </c>
      <c r="J5" s="7"/>
      <c r="K5" s="30">
        <f>SUM(J3:J4)</f>
        <v>1989</v>
      </c>
    </row>
    <row r="6" spans="1:20" ht="18.45" x14ac:dyDescent="0.4">
      <c r="B6" s="14"/>
      <c r="K6" s="30"/>
    </row>
    <row r="7" spans="1:20" ht="18.45" x14ac:dyDescent="0.4">
      <c r="B7" s="12" t="s">
        <v>16</v>
      </c>
      <c r="D7" s="17"/>
      <c r="E7" s="17">
        <v>2413</v>
      </c>
      <c r="F7" s="17">
        <v>-127</v>
      </c>
      <c r="G7" s="17">
        <v>-1415</v>
      </c>
      <c r="H7" s="17"/>
      <c r="I7" s="24">
        <v>264</v>
      </c>
      <c r="J7" s="18">
        <v>834</v>
      </c>
      <c r="K7" s="31"/>
      <c r="L7" s="19" t="s">
        <v>9</v>
      </c>
      <c r="M7" s="19">
        <v>45602</v>
      </c>
    </row>
    <row r="8" spans="1:20" ht="15.9" x14ac:dyDescent="0.45">
      <c r="B8" s="15"/>
      <c r="C8" s="1"/>
      <c r="D8" s="20"/>
      <c r="E8" s="20">
        <v>1799</v>
      </c>
      <c r="F8" s="20">
        <v>-114</v>
      </c>
      <c r="G8" s="20">
        <v>-870</v>
      </c>
      <c r="H8" s="20"/>
      <c r="J8" s="21">
        <v>815</v>
      </c>
      <c r="K8" s="32"/>
      <c r="L8" s="20" t="s">
        <v>12</v>
      </c>
      <c r="M8" s="22">
        <v>45616</v>
      </c>
    </row>
    <row r="9" spans="1:20" x14ac:dyDescent="0.4">
      <c r="E9" s="3">
        <f>SUM(E7:E8)</f>
        <v>4212</v>
      </c>
      <c r="K9" s="30">
        <f>SUM(J7:J8)</f>
        <v>1649</v>
      </c>
    </row>
    <row r="11" spans="1:20" ht="18.45" x14ac:dyDescent="0.4">
      <c r="A11" s="10" t="s">
        <v>8</v>
      </c>
      <c r="B11" s="12" t="s">
        <v>15</v>
      </c>
      <c r="D11" s="17"/>
      <c r="E11" s="17">
        <v>2468</v>
      </c>
      <c r="F11" s="17">
        <v>-92</v>
      </c>
      <c r="G11" s="17">
        <v>-1114</v>
      </c>
      <c r="H11" s="17">
        <v>-989</v>
      </c>
      <c r="I11" s="24">
        <v>63</v>
      </c>
      <c r="J11" s="18">
        <v>1118</v>
      </c>
      <c r="K11" s="28"/>
      <c r="L11" s="19" t="s">
        <v>17</v>
      </c>
      <c r="M11" s="19">
        <v>45604</v>
      </c>
    </row>
    <row r="12" spans="1:20" ht="18.45" x14ac:dyDescent="0.45">
      <c r="B12" s="13"/>
      <c r="D12" s="20"/>
      <c r="E12" s="20">
        <v>2787</v>
      </c>
      <c r="F12" s="20">
        <v>-138</v>
      </c>
      <c r="G12" s="20">
        <v>-1171</v>
      </c>
      <c r="H12" s="20">
        <v>-1065</v>
      </c>
      <c r="J12" s="21">
        <v>1401</v>
      </c>
      <c r="K12" s="29"/>
      <c r="L12" s="20" t="s">
        <v>18</v>
      </c>
      <c r="M12" s="22">
        <v>45618</v>
      </c>
    </row>
    <row r="13" spans="1:20" ht="18.45" x14ac:dyDescent="0.4">
      <c r="B13" s="14"/>
      <c r="K13" s="33">
        <f>SUM(J11:J12)</f>
        <v>2519</v>
      </c>
    </row>
    <row r="14" spans="1:20" ht="18.45" x14ac:dyDescent="0.4">
      <c r="B14" s="14"/>
      <c r="K14" s="33"/>
    </row>
    <row r="15" spans="1:20" ht="18.45" x14ac:dyDescent="0.4">
      <c r="B15" s="12" t="s">
        <v>16</v>
      </c>
      <c r="D15" s="17"/>
      <c r="E15" s="17">
        <v>2827</v>
      </c>
      <c r="F15" s="17">
        <v>-44</v>
      </c>
      <c r="G15" s="17">
        <v>-1555</v>
      </c>
      <c r="H15" s="17"/>
      <c r="I15" s="24">
        <v>159</v>
      </c>
      <c r="J15" s="18">
        <v>1227</v>
      </c>
      <c r="K15" s="34"/>
      <c r="L15" s="19" t="s">
        <v>9</v>
      </c>
      <c r="M15" s="19">
        <v>45602</v>
      </c>
    </row>
    <row r="16" spans="1:20" ht="15.9" x14ac:dyDescent="0.45">
      <c r="B16" s="15"/>
      <c r="D16" s="20"/>
      <c r="E16" s="20">
        <v>3003</v>
      </c>
      <c r="F16" s="20">
        <v>-113</v>
      </c>
      <c r="G16" s="20">
        <v>-1471</v>
      </c>
      <c r="H16" s="20"/>
      <c r="J16" s="21">
        <v>1417</v>
      </c>
      <c r="K16" s="35"/>
      <c r="L16" s="20" t="s">
        <v>12</v>
      </c>
      <c r="M16" s="22">
        <v>45616</v>
      </c>
    </row>
    <row r="17" spans="1:13" x14ac:dyDescent="0.4">
      <c r="B17" s="15"/>
      <c r="D17"/>
      <c r="H17"/>
      <c r="I17"/>
      <c r="K17" s="33">
        <f>SUM(J15:J16)</f>
        <v>2644</v>
      </c>
    </row>
    <row r="19" spans="1:13" ht="18.45" x14ac:dyDescent="0.45">
      <c r="A19" s="25" t="s">
        <v>19</v>
      </c>
      <c r="B19" s="12" t="s">
        <v>15</v>
      </c>
      <c r="D19" s="17"/>
      <c r="E19" s="17">
        <v>1468</v>
      </c>
      <c r="F19" s="17">
        <v>-60</v>
      </c>
      <c r="G19" s="17">
        <v>-684</v>
      </c>
      <c r="H19" s="17">
        <v>-580</v>
      </c>
      <c r="I19" s="24">
        <v>126</v>
      </c>
      <c r="J19" s="18">
        <v>698</v>
      </c>
      <c r="K19" s="28"/>
      <c r="L19" s="19" t="s">
        <v>17</v>
      </c>
      <c r="M19" s="19">
        <v>45604</v>
      </c>
    </row>
    <row r="20" spans="1:13" ht="18.45" x14ac:dyDescent="0.45">
      <c r="B20" s="13"/>
      <c r="D20" s="20"/>
      <c r="E20" s="20">
        <v>1998</v>
      </c>
      <c r="F20" s="20">
        <v>-67</v>
      </c>
      <c r="G20" s="20">
        <v>-769</v>
      </c>
      <c r="H20" s="20">
        <v>-627</v>
      </c>
      <c r="J20" s="21">
        <v>1115</v>
      </c>
      <c r="K20" s="29"/>
      <c r="L20" s="20" t="s">
        <v>18</v>
      </c>
      <c r="M20" s="22">
        <v>45618</v>
      </c>
    </row>
    <row r="21" spans="1:13" ht="18.45" x14ac:dyDescent="0.45">
      <c r="B21" s="14"/>
      <c r="K21" s="36">
        <f>SUM(J19:J20)</f>
        <v>1813</v>
      </c>
    </row>
    <row r="22" spans="1:13" ht="18.45" x14ac:dyDescent="0.45">
      <c r="B22" s="14"/>
      <c r="K22" s="36"/>
    </row>
    <row r="23" spans="1:13" ht="18.45" x14ac:dyDescent="0.45">
      <c r="B23" s="12" t="s">
        <v>16</v>
      </c>
      <c r="D23" s="17"/>
      <c r="E23" s="17">
        <v>2417</v>
      </c>
      <c r="F23" s="17">
        <v>-157</v>
      </c>
      <c r="G23" s="17">
        <v>-1098</v>
      </c>
      <c r="H23" s="17"/>
      <c r="I23" s="24">
        <v>62</v>
      </c>
      <c r="J23" s="18">
        <v>1191</v>
      </c>
      <c r="K23" s="37"/>
      <c r="L23" s="19" t="s">
        <v>9</v>
      </c>
      <c r="M23" s="19">
        <v>45602</v>
      </c>
    </row>
    <row r="24" spans="1:13" ht="15.9" x14ac:dyDescent="0.45">
      <c r="B24" s="15"/>
      <c r="D24" s="20"/>
      <c r="E24" s="20">
        <v>2195</v>
      </c>
      <c r="F24" s="20">
        <v>-165</v>
      </c>
      <c r="G24" s="20">
        <v>-910</v>
      </c>
      <c r="H24" s="20"/>
      <c r="J24" s="21">
        <v>1115</v>
      </c>
      <c r="K24" s="38"/>
      <c r="L24" s="20" t="s">
        <v>12</v>
      </c>
      <c r="M24" s="22">
        <v>45616</v>
      </c>
    </row>
    <row r="25" spans="1:13" ht="15.9" x14ac:dyDescent="0.4">
      <c r="B25" s="15"/>
      <c r="D25" s="15"/>
      <c r="E25" s="15"/>
      <c r="F25" s="15"/>
      <c r="G25" s="15"/>
      <c r="H25" s="15"/>
      <c r="I25" s="15"/>
      <c r="J25" s="15"/>
      <c r="K25" s="39">
        <f>SUM(J23:J24)</f>
        <v>2306</v>
      </c>
      <c r="L25" s="15"/>
      <c r="M25" s="15"/>
    </row>
    <row r="27" spans="1:13" ht="18.45" x14ac:dyDescent="0.45">
      <c r="A27" s="26" t="s">
        <v>21</v>
      </c>
      <c r="B27" s="12" t="s">
        <v>15</v>
      </c>
      <c r="D27" s="17"/>
      <c r="E27" s="17">
        <v>1705</v>
      </c>
      <c r="F27" s="17">
        <v>-66</v>
      </c>
      <c r="G27" s="17">
        <v>-809</v>
      </c>
      <c r="H27" s="17"/>
      <c r="J27" s="18">
        <v>946</v>
      </c>
      <c r="K27" s="28"/>
      <c r="L27" s="19" t="s">
        <v>17</v>
      </c>
      <c r="M27" s="19">
        <v>45604</v>
      </c>
    </row>
    <row r="28" spans="1:13" ht="18.45" x14ac:dyDescent="0.45">
      <c r="B28" s="13"/>
      <c r="D28" s="20"/>
      <c r="E28" s="20">
        <v>1857</v>
      </c>
      <c r="F28" s="20">
        <v>-97</v>
      </c>
      <c r="G28" s="20">
        <v>-877</v>
      </c>
      <c r="H28" s="20"/>
      <c r="J28" s="21">
        <v>895</v>
      </c>
      <c r="K28" s="29"/>
      <c r="L28" s="20" t="s">
        <v>18</v>
      </c>
      <c r="M28" s="22">
        <v>45618</v>
      </c>
    </row>
    <row r="29" spans="1:13" ht="18.45" x14ac:dyDescent="0.4">
      <c r="B29" s="14"/>
      <c r="K29" s="40">
        <f>SUM(J27:J28)</f>
        <v>1841</v>
      </c>
    </row>
    <row r="30" spans="1:13" ht="18.45" x14ac:dyDescent="0.4">
      <c r="B30" s="14"/>
      <c r="K30" s="40"/>
    </row>
    <row r="31" spans="1:13" ht="18.45" x14ac:dyDescent="0.4">
      <c r="B31" s="12" t="s">
        <v>16</v>
      </c>
      <c r="D31" s="17"/>
      <c r="E31" s="17">
        <v>2500</v>
      </c>
      <c r="F31" s="17">
        <v>-108</v>
      </c>
      <c r="G31" s="17">
        <v>-1457</v>
      </c>
      <c r="H31" s="17"/>
      <c r="I31" s="24">
        <v>65</v>
      </c>
      <c r="J31" s="18">
        <v>935</v>
      </c>
      <c r="K31" s="41"/>
      <c r="L31" s="19" t="s">
        <v>9</v>
      </c>
      <c r="M31" s="19">
        <v>45602</v>
      </c>
    </row>
    <row r="32" spans="1:13" ht="15.9" x14ac:dyDescent="0.45">
      <c r="B32" s="15"/>
      <c r="D32" s="20"/>
      <c r="E32" s="20">
        <v>2584</v>
      </c>
      <c r="F32" s="20">
        <v>-198</v>
      </c>
      <c r="G32" s="20">
        <v>-1327</v>
      </c>
      <c r="H32" s="20"/>
      <c r="J32" s="21">
        <v>958</v>
      </c>
      <c r="K32" s="42"/>
      <c r="L32" s="20" t="s">
        <v>12</v>
      </c>
      <c r="M32" s="22">
        <v>45616</v>
      </c>
    </row>
    <row r="33" spans="1:13" x14ac:dyDescent="0.4">
      <c r="K33" s="40">
        <f>SUM(J31:J32)</f>
        <v>1893</v>
      </c>
    </row>
    <row r="35" spans="1:13" ht="18.45" x14ac:dyDescent="0.45">
      <c r="A35" s="7" t="s">
        <v>22</v>
      </c>
      <c r="B35" s="12" t="s">
        <v>15</v>
      </c>
      <c r="D35" s="17"/>
      <c r="E35" s="17">
        <v>1896</v>
      </c>
      <c r="F35" s="17">
        <v>-132</v>
      </c>
      <c r="G35" s="17">
        <v>-864</v>
      </c>
      <c r="H35" s="17"/>
      <c r="I35" s="24">
        <v>128</v>
      </c>
      <c r="J35" s="18">
        <v>740</v>
      </c>
      <c r="K35" s="28"/>
      <c r="L35" s="19" t="s">
        <v>17</v>
      </c>
      <c r="M35" s="19">
        <v>45604</v>
      </c>
    </row>
    <row r="36" spans="1:13" ht="18.45" x14ac:dyDescent="0.45">
      <c r="B36" s="13"/>
      <c r="D36" s="20"/>
      <c r="E36" s="20">
        <v>1946</v>
      </c>
      <c r="F36" s="20">
        <v>-144</v>
      </c>
      <c r="G36" s="20">
        <v>-896</v>
      </c>
      <c r="H36" s="20"/>
      <c r="J36" s="21">
        <v>1227</v>
      </c>
      <c r="K36" s="29"/>
      <c r="L36" s="20" t="s">
        <v>18</v>
      </c>
      <c r="M36" s="22">
        <v>45618</v>
      </c>
    </row>
    <row r="37" spans="1:13" ht="18.45" x14ac:dyDescent="0.4">
      <c r="B37" s="14"/>
      <c r="K37" s="44">
        <f>SUM(J35:J36)</f>
        <v>1967</v>
      </c>
    </row>
    <row r="38" spans="1:13" ht="18.45" x14ac:dyDescent="0.4">
      <c r="B38" s="14"/>
      <c r="K38" s="44"/>
    </row>
    <row r="39" spans="1:13" ht="18.45" x14ac:dyDescent="0.4">
      <c r="B39" s="12" t="s">
        <v>16</v>
      </c>
      <c r="D39" s="17"/>
      <c r="E39" s="17">
        <v>1186</v>
      </c>
      <c r="F39" s="17">
        <v>-191</v>
      </c>
      <c r="G39" s="17">
        <v>-892</v>
      </c>
      <c r="H39" s="17"/>
      <c r="I39" s="24">
        <v>491</v>
      </c>
      <c r="J39" s="18">
        <v>1029</v>
      </c>
      <c r="K39" s="45"/>
      <c r="L39" s="19" t="s">
        <v>9</v>
      </c>
      <c r="M39" s="19">
        <v>45602</v>
      </c>
    </row>
    <row r="40" spans="1:13" ht="15.9" x14ac:dyDescent="0.45">
      <c r="B40" s="15"/>
      <c r="D40" s="20"/>
      <c r="E40" s="20">
        <v>2626</v>
      </c>
      <c r="F40" s="20">
        <v>-272</v>
      </c>
      <c r="G40" s="20">
        <v>-133</v>
      </c>
      <c r="H40" s="20"/>
      <c r="J40" s="21">
        <v>1144</v>
      </c>
      <c r="K40" s="46"/>
      <c r="L40" s="20" t="s">
        <v>12</v>
      </c>
      <c r="M40" s="22">
        <v>45616</v>
      </c>
    </row>
    <row r="41" spans="1:13" x14ac:dyDescent="0.4">
      <c r="K41" s="44">
        <f>SUM(J39:J40)</f>
        <v>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Mollon</dc:creator>
  <cp:lastModifiedBy>Monica Mollon</cp:lastModifiedBy>
  <dcterms:created xsi:type="dcterms:W3CDTF">2024-11-21T12:01:07Z</dcterms:created>
  <dcterms:modified xsi:type="dcterms:W3CDTF">2024-11-23T12:06:55Z</dcterms:modified>
</cp:coreProperties>
</file>